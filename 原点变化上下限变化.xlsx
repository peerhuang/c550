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D:\MyProjects\c550\"/>
    </mc:Choice>
  </mc:AlternateContent>
  <xr:revisionPtr revIDLastSave="0" documentId="13_ncr:1_{CF684E28-40E3-4E70-B2A6-4427635EF42E}" xr6:coauthVersionLast="47" xr6:coauthVersionMax="47" xr10:uidLastSave="{00000000-0000-0000-0000-000000000000}"/>
  <bookViews>
    <workbookView xWindow="5712" yWindow="1608" windowWidth="20136" windowHeight="14460" xr2:uid="{5D898D04-4AD4-4083-9ACC-B065477D2E7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3" i="1" l="1"/>
  <c r="I4" i="1"/>
  <c r="I5" i="1"/>
  <c r="I6" i="1"/>
  <c r="I7" i="1"/>
  <c r="I8" i="1"/>
  <c r="K4" i="1"/>
  <c r="K5" i="1"/>
  <c r="K7" i="1"/>
  <c r="K8" i="1"/>
  <c r="J4" i="1"/>
  <c r="J5" i="1"/>
  <c r="J7" i="1"/>
  <c r="J8" i="1"/>
  <c r="H6" i="1"/>
  <c r="K6" i="1" s="1"/>
  <c r="K3" i="1"/>
  <c r="J3" i="1"/>
  <c r="J6" i="1" l="1"/>
</calcChain>
</file>

<file path=xl/sharedStrings.xml><?xml version="1.0" encoding="utf-8"?>
<sst xmlns="http://schemas.openxmlformats.org/spreadsheetml/2006/main" count="21" uniqueCount="20">
  <si>
    <t>下限</t>
  </si>
  <si>
    <t>上限</t>
  </si>
  <si>
    <t>MainArm</t>
  </si>
  <si>
    <t>TiltCompensation</t>
  </si>
  <si>
    <t>AssistantArmRotation</t>
  </si>
  <si>
    <t>AssistantArm2</t>
  </si>
  <si>
    <t>AssistantArm1</t>
  </si>
  <si>
    <t>TongHeadTilt</t>
  </si>
  <si>
    <t>主臂</t>
  </si>
  <si>
    <t>倾斜补偿</t>
  </si>
  <si>
    <t>副臂旋转</t>
  </si>
  <si>
    <t>钳头倾斜</t>
  </si>
  <si>
    <t>原数据</t>
  </si>
  <si>
    <t>当前</t>
  </si>
  <si>
    <t>零点</t>
  </si>
  <si>
    <t>下限编码</t>
  </si>
  <si>
    <t>下限位置</t>
  </si>
  <si>
    <t>上限编码</t>
  </si>
  <si>
    <t>上限位置</t>
  </si>
  <si>
    <t>零点差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</si>
</sst>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F9475D-5D84-40C6-86C4-4A44C838D610}">
  <dimension ref="A1:K8"/>
  <sheetViews>
    <sheetView tabSelected="1" workbookViewId="0">
      <selection activeCell="J12" sqref="J12"/>
    </sheetView>
  </sheetViews>
  <sheetFormatPr defaultRowHeight="14.4" x14ac:dyDescent="0.3"/>
  <cols>
    <col min="1" max="1" width="9.6640625" customWidth="1"/>
    <col min="2" max="2" width="20.88671875" customWidth="1"/>
    <col min="3" max="3" width="15.88671875" customWidth="1"/>
    <col min="4" max="4" width="17.6640625" customWidth="1"/>
    <col min="5" max="5" width="14.44140625" customWidth="1"/>
    <col min="6" max="6" width="19.5546875" customWidth="1"/>
    <col min="7" max="7" width="15.77734375" customWidth="1"/>
    <col min="8" max="8" width="18.109375" customWidth="1"/>
    <col min="9" max="9" width="12" customWidth="1"/>
    <col min="10" max="10" width="13.88671875" customWidth="1"/>
    <col min="11" max="11" width="14.6640625" customWidth="1"/>
    <col min="12" max="12" width="16.44140625" customWidth="1"/>
  </cols>
  <sheetData>
    <row r="1" spans="1:11" x14ac:dyDescent="0.3">
      <c r="C1" s="3" t="s">
        <v>12</v>
      </c>
      <c r="D1" s="3"/>
      <c r="E1" s="3"/>
      <c r="F1" s="3"/>
      <c r="G1" s="3"/>
      <c r="H1" s="3" t="s">
        <v>13</v>
      </c>
      <c r="I1" s="3"/>
      <c r="J1" s="3"/>
      <c r="K1" s="3"/>
    </row>
    <row r="2" spans="1:11" x14ac:dyDescent="0.3">
      <c r="C2" s="1" t="s">
        <v>14</v>
      </c>
      <c r="D2" s="2" t="s">
        <v>15</v>
      </c>
      <c r="E2" s="2" t="s">
        <v>16</v>
      </c>
      <c r="F2" s="2" t="s">
        <v>17</v>
      </c>
      <c r="G2" s="2" t="s">
        <v>18</v>
      </c>
      <c r="H2" s="1" t="s">
        <v>14</v>
      </c>
      <c r="I2" s="2" t="s">
        <v>19</v>
      </c>
      <c r="J2" s="1" t="s">
        <v>0</v>
      </c>
      <c r="K2" s="1" t="s">
        <v>1</v>
      </c>
    </row>
    <row r="3" spans="1:11" x14ac:dyDescent="0.3">
      <c r="A3" t="s">
        <v>8</v>
      </c>
      <c r="B3" t="s">
        <v>2</v>
      </c>
      <c r="C3">
        <v>108367728</v>
      </c>
      <c r="D3">
        <v>63868613</v>
      </c>
      <c r="E3">
        <v>-568</v>
      </c>
      <c r="F3">
        <v>119497726</v>
      </c>
      <c r="G3">
        <v>142</v>
      </c>
      <c r="H3">
        <v>108393431</v>
      </c>
      <c r="I3" t="e">
        <f>H2-C2</f>
        <v>#VALUE!</v>
      </c>
      <c r="J3">
        <f>E3-(H3-C3)*(G3-E3)/(F3-D3)</f>
        <v>-568.32804999065866</v>
      </c>
      <c r="K3">
        <f>G3-(H3-C3)*(G3-E3)/(F3-D3)</f>
        <v>141.67195000934134</v>
      </c>
    </row>
    <row r="4" spans="1:11" x14ac:dyDescent="0.3">
      <c r="A4" t="s">
        <v>9</v>
      </c>
      <c r="B4" t="s">
        <v>3</v>
      </c>
      <c r="C4">
        <v>568420432</v>
      </c>
      <c r="D4">
        <v>533628839</v>
      </c>
      <c r="E4">
        <v>-632</v>
      </c>
      <c r="F4">
        <v>581137781</v>
      </c>
      <c r="G4">
        <v>231</v>
      </c>
      <c r="H4">
        <v>568728446</v>
      </c>
      <c r="I4">
        <f t="shared" ref="I4:I8" si="0">H3-C3</f>
        <v>25703</v>
      </c>
      <c r="J4">
        <f t="shared" ref="J4:J8" si="1">E4-(H4-C4)*(G4-E4)/(F4-D4)</f>
        <v>-637.59507475455882</v>
      </c>
      <c r="K4">
        <f t="shared" ref="K4:K8" si="2">G4-(H4-C4)*(G4-E4)/(F4-D4)</f>
        <v>225.40492524544118</v>
      </c>
    </row>
    <row r="5" spans="1:11" x14ac:dyDescent="0.3">
      <c r="A5" t="s">
        <v>10</v>
      </c>
      <c r="B5" t="s">
        <v>4</v>
      </c>
      <c r="C5">
        <v>103338052</v>
      </c>
      <c r="E5">
        <v>-91</v>
      </c>
      <c r="G5">
        <v>91</v>
      </c>
      <c r="H5">
        <v>103337629</v>
      </c>
      <c r="I5">
        <f t="shared" si="0"/>
        <v>308014</v>
      </c>
      <c r="J5" t="e">
        <f t="shared" si="1"/>
        <v>#DIV/0!</v>
      </c>
      <c r="K5" t="e">
        <f t="shared" si="2"/>
        <v>#DIV/0!</v>
      </c>
    </row>
    <row r="6" spans="1:11" x14ac:dyDescent="0.3">
      <c r="B6" t="s">
        <v>5</v>
      </c>
      <c r="C6">
        <v>-1956000431</v>
      </c>
      <c r="D6">
        <v>-1970892840</v>
      </c>
      <c r="E6">
        <v>-55</v>
      </c>
      <c r="F6">
        <v>-1971579611</v>
      </c>
      <c r="G6">
        <v>10</v>
      </c>
      <c r="H6">
        <f>-1956097452</f>
        <v>-1956097452</v>
      </c>
      <c r="I6">
        <f t="shared" si="0"/>
        <v>-423</v>
      </c>
      <c r="J6">
        <f t="shared" si="1"/>
        <v>-64.182631473955652</v>
      </c>
      <c r="K6">
        <f t="shared" si="2"/>
        <v>0.81736852604434418</v>
      </c>
    </row>
    <row r="7" spans="1:11" x14ac:dyDescent="0.3">
      <c r="B7" t="s">
        <v>6</v>
      </c>
      <c r="C7">
        <v>1864471865</v>
      </c>
      <c r="D7">
        <v>1879344837</v>
      </c>
      <c r="E7">
        <v>-55</v>
      </c>
      <c r="F7">
        <v>1880020646</v>
      </c>
      <c r="G7">
        <v>10</v>
      </c>
      <c r="H7">
        <v>1864544146</v>
      </c>
      <c r="I7">
        <f t="shared" si="0"/>
        <v>-97021</v>
      </c>
      <c r="J7">
        <f t="shared" si="1"/>
        <v>-61.952060419438034</v>
      </c>
      <c r="K7">
        <f t="shared" si="2"/>
        <v>3.0479395805619633</v>
      </c>
    </row>
    <row r="8" spans="1:11" x14ac:dyDescent="0.3">
      <c r="A8" t="s">
        <v>11</v>
      </c>
      <c r="B8" t="s">
        <v>7</v>
      </c>
      <c r="C8">
        <v>119441278</v>
      </c>
      <c r="D8">
        <v>-153821605</v>
      </c>
      <c r="E8">
        <v>-105</v>
      </c>
      <c r="F8">
        <v>-105230225</v>
      </c>
      <c r="G8">
        <v>954</v>
      </c>
      <c r="H8">
        <v>119208421</v>
      </c>
      <c r="I8">
        <f t="shared" si="0"/>
        <v>72281</v>
      </c>
      <c r="J8">
        <f t="shared" si="1"/>
        <v>-99.925117109248589</v>
      </c>
      <c r="K8">
        <f t="shared" si="2"/>
        <v>959.07488289075138</v>
      </c>
    </row>
  </sheetData>
  <mergeCells count="2">
    <mergeCell ref="H1:K1"/>
    <mergeCell ref="C1:G1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Jie Huang</dc:creator>
  <cp:lastModifiedBy>Jie Huang</cp:lastModifiedBy>
  <dcterms:created xsi:type="dcterms:W3CDTF">2025-08-06T07:13:56Z</dcterms:created>
  <dcterms:modified xsi:type="dcterms:W3CDTF">2025-08-06T10:40:38Z</dcterms:modified>
</cp:coreProperties>
</file>