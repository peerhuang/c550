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Projects\c550\"/>
    </mc:Choice>
  </mc:AlternateContent>
  <xr:revisionPtr revIDLastSave="0" documentId="13_ncr:1_{DDF83519-0E1C-4010-9A99-374EBB27ED13}" xr6:coauthVersionLast="47" xr6:coauthVersionMax="47" xr10:uidLastSave="{00000000-0000-0000-0000-000000000000}"/>
  <bookViews>
    <workbookView xWindow="4665" yWindow="225" windowWidth="19725" windowHeight="15210" activeTab="2" xr2:uid="{60BF1A9E-F77C-4FB5-BF3B-E5EC594AA92E}"/>
  </bookViews>
  <sheets>
    <sheet name="PathPoints6" sheetId="1" r:id="rId1"/>
    <sheet name="Sheet1" sheetId="2" r:id="rId2"/>
    <sheet name="仿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<sst xmlns="http://schemas.openxmlformats.org/spreadsheetml/2006/main" count="242" uniqueCount="165">
  <si>
    <t>命令形式</t>
  </si>
  <si>
    <t>参数1</t>
  </si>
  <si>
    <t>参数2</t>
  </si>
  <si>
    <t>参数3</t>
  </si>
  <si>
    <t>参数4</t>
  </si>
  <si>
    <t>参数5</t>
  </si>
  <si>
    <t>参数6</t>
  </si>
  <si>
    <t>启动延时</t>
  </si>
  <si>
    <t>结束延时</t>
  </si>
  <si>
    <t>启动IO</t>
  </si>
  <si>
    <t>结束IO</t>
  </si>
  <si>
    <t>速度</t>
  </si>
  <si>
    <t>参数7</t>
  </si>
  <si>
    <t>连接速度</t>
  </si>
  <si>
    <t>条件IO及保持IO</t>
  </si>
  <si>
    <t>校验</t>
  </si>
  <si>
    <t>CmdType</t>
  </si>
  <si>
    <t>X</t>
  </si>
  <si>
    <t>Y</t>
  </si>
  <si>
    <t>Z</t>
  </si>
  <si>
    <t>A</t>
  </si>
  <si>
    <t>B</t>
  </si>
  <si>
    <t>C</t>
  </si>
  <si>
    <t>IO_Out</t>
  </si>
  <si>
    <t>Overide</t>
  </si>
  <si>
    <t>X2</t>
  </si>
  <si>
    <t>LOOKAHEAD</t>
  </si>
  <si>
    <t>IO_Keep</t>
  </si>
  <si>
    <t>Check</t>
  </si>
  <si>
    <t>站点模板</t>
    <phoneticPr fontId="18" type="noConversion"/>
  </si>
  <si>
    <t>解释</t>
    <phoneticPr fontId="18" type="noConversion"/>
  </si>
  <si>
    <t>机械手升降</t>
  </si>
  <si>
    <t>主臂变幅</t>
  </si>
  <si>
    <t>副臂变幅</t>
  </si>
  <si>
    <t>副臂回转</t>
  </si>
  <si>
    <t>钳头补偿(左右)</t>
  </si>
  <si>
    <t>钳头倾斜(俯仰)</t>
  </si>
  <si>
    <t>延时、IO触发、输出</t>
  </si>
  <si>
    <t>工艺开始</t>
  </si>
  <si>
    <t>工艺结束</t>
  </si>
  <si>
    <t>关节运动(设定位姿7)</t>
  </si>
  <si>
    <t>位姿判断(关节调整)</t>
  </si>
  <si>
    <t>模板-工艺开始</t>
  </si>
  <si>
    <t>钻台面-同步</t>
  </si>
  <si>
    <t>钻台面-脱离</t>
  </si>
  <si>
    <t>钻台面-异步运动</t>
  </si>
  <si>
    <t>钻台面-夹持打开</t>
  </si>
  <si>
    <t>钻台面-夹持关闭</t>
  </si>
  <si>
    <t>钻台面-等待到达</t>
  </si>
  <si>
    <t>大臂变幅+旋转</t>
  </si>
  <si>
    <t>双臂变幅+钳头</t>
  </si>
  <si>
    <t>副臂变幅+钳头+补偿</t>
  </si>
  <si>
    <t>机械手升降Jog</t>
  </si>
  <si>
    <t>二层台控制</t>
  </si>
  <si>
    <t>二层台判断</t>
  </si>
  <si>
    <t>鼠洞控制</t>
  </si>
  <si>
    <t>鼠洞判断</t>
  </si>
  <si>
    <t>夹钳控制</t>
  </si>
  <si>
    <t>夹钳判断</t>
  </si>
  <si>
    <t>钻台面-夹钳判断</t>
  </si>
  <si>
    <t>T_Begin/秒</t>
    <phoneticPr fontId="18" type="noConversion"/>
  </si>
  <si>
    <t>IO_In</t>
    <phoneticPr fontId="18" type="noConversion"/>
  </si>
  <si>
    <t>T_End/秒</t>
    <phoneticPr fontId="18" type="noConversion"/>
  </si>
  <si>
    <t>升降位移</t>
    <phoneticPr fontId="18" type="noConversion"/>
  </si>
  <si>
    <t>主臂位移</t>
    <phoneticPr fontId="18" type="noConversion"/>
  </si>
  <si>
    <t>副臂位移</t>
    <phoneticPr fontId="18" type="noConversion"/>
  </si>
  <si>
    <t>旋转角度</t>
    <phoneticPr fontId="18" type="noConversion"/>
  </si>
  <si>
    <t>补偿角度</t>
  </si>
  <si>
    <t>补偿角度(只在C旋转90°时生效)</t>
    <phoneticPr fontId="18" type="noConversion"/>
  </si>
  <si>
    <t>旋转角度(只在A绝对值小于0.1°时生效)</t>
    <phoneticPr fontId="18" type="noConversion"/>
  </si>
  <si>
    <t>俯仰角度</t>
    <phoneticPr fontId="18" type="noConversion"/>
  </si>
  <si>
    <t>条目</t>
    <phoneticPr fontId="18" type="noConversion"/>
  </si>
  <si>
    <t>命令代码</t>
    <phoneticPr fontId="18" type="noConversion"/>
  </si>
  <si>
    <t>代码执行前延时</t>
    <phoneticPr fontId="18" type="noConversion"/>
  </si>
  <si>
    <t>代码执行后延时</t>
    <phoneticPr fontId="18" type="noConversion"/>
  </si>
  <si>
    <t>启动条件IO,索引GVL.st6.BIO.IO_In;在PRG-PathIO进行赋值</t>
    <phoneticPr fontId="18" type="noConversion"/>
  </si>
  <si>
    <t>结束触发IO,索引GVL.st6.BIO.IO_Out;在PRG-PathIO进行操作同时复位</t>
    <phoneticPr fontId="18" type="noConversion"/>
  </si>
  <si>
    <t>运动速度，满速为1</t>
    <phoneticPr fontId="18" type="noConversion"/>
  </si>
  <si>
    <t>YYXX</t>
    <phoneticPr fontId="18" type="noConversion"/>
  </si>
  <si>
    <t>填写Int数值YYXX,XX表示保持IO如果保持IO在运行过程中不为1，则报错并停止流程；YY表示条件结束IO，如果YY对应IO变为1，则结束当前指令，只用于Jog指令。如果100即表示该行代码在1号IO即GVL.st6.BIO.IO_In[0]触发时结束</t>
    <phoneticPr fontId="18" type="noConversion"/>
  </si>
  <si>
    <t>用于代码文本校验</t>
    <phoneticPr fontId="18" type="noConversion"/>
  </si>
  <si>
    <t>类型</t>
    <phoneticPr fontId="18" type="noConversion"/>
  </si>
  <si>
    <t>运动指令</t>
    <phoneticPr fontId="18" type="noConversion"/>
  </si>
  <si>
    <t>非运动指令</t>
    <phoneticPr fontId="18" type="noConversion"/>
  </si>
  <si>
    <t>Z位移指向点动方向</t>
    <phoneticPr fontId="18" type="noConversion"/>
  </si>
  <si>
    <t>直接关节运动至指定位置，忽略轨迹（谨慎使用）</t>
    <phoneticPr fontId="18" type="noConversion"/>
  </si>
  <si>
    <t>先判断是否在指定位置(小于一定允许误差)，再小范围调整至准确位置</t>
    <phoneticPr fontId="18" type="noConversion"/>
  </si>
  <si>
    <t>旋转角度需要在89°以内</t>
    <phoneticPr fontId="18" type="noConversion"/>
  </si>
  <si>
    <t>只在A绝对值小于0.01时，旋转角小于0.1，该代码前需要放T8代码进行调整</t>
    <phoneticPr fontId="18" type="noConversion"/>
  </si>
  <si>
    <t>旋转角度需要在0.2°以内</t>
    <phoneticPr fontId="18" type="noConversion"/>
  </si>
  <si>
    <t>0.01°以内</t>
    <phoneticPr fontId="18" type="noConversion"/>
  </si>
  <si>
    <t>必须设定条件IO</t>
    <phoneticPr fontId="18" type="noConversion"/>
  </si>
  <si>
    <t>工艺结束后必须有工艺结束指令</t>
    <phoneticPr fontId="18" type="noConversion"/>
  </si>
  <si>
    <t>工艺开始前必须有工艺开始指令,可以为91也可以为93</t>
    <phoneticPr fontId="18" type="noConversion"/>
  </si>
  <si>
    <t>标记该工艺流程为模板，可以作为工艺开始指令</t>
    <phoneticPr fontId="18" type="noConversion"/>
  </si>
  <si>
    <t>底盘位置</t>
    <phoneticPr fontId="18" type="noConversion"/>
  </si>
  <si>
    <t>末端X位置</t>
    <phoneticPr fontId="18" type="noConversion"/>
  </si>
  <si>
    <t>末端Y位置</t>
    <phoneticPr fontId="18" type="noConversion"/>
  </si>
  <si>
    <t>钻台面同步，接收大机械臂T2、3、4、14、15、16指令，指令填写前先手动MoveAbs测试合理性、可达性</t>
    <phoneticPr fontId="18" type="noConversion"/>
  </si>
  <si>
    <t>指梁锁编号从1开始</t>
    <phoneticPr fontId="18" type="noConversion"/>
  </si>
  <si>
    <t>1、高位
-1、低位</t>
    <phoneticPr fontId="18" type="noConversion"/>
  </si>
  <si>
    <t>1-打开、
-1关闭</t>
    <phoneticPr fontId="18" type="noConversion"/>
  </si>
  <si>
    <t>1-打开、
-1-锁紧</t>
    <phoneticPr fontId="18" type="noConversion"/>
  </si>
  <si>
    <t>1-打开、
-1-关闭</t>
    <phoneticPr fontId="18" type="noConversion"/>
  </si>
  <si>
    <t>上夹钳
1-打开、
-1-锁紧、
-2-到指定位置</t>
    <phoneticPr fontId="18" type="noConversion"/>
  </si>
  <si>
    <t>扶持钳
1-打开、
-1-锁紧、
-2-到指定位置</t>
    <phoneticPr fontId="18" type="noConversion"/>
  </si>
  <si>
    <t>下夹钳
1-打开、
-1-锁紧、
-2-到指定位置</t>
    <phoneticPr fontId="18" type="noConversion"/>
  </si>
  <si>
    <t>上夹钳指定位置</t>
    <phoneticPr fontId="18" type="noConversion"/>
  </si>
  <si>
    <t>扶持钳指定位置</t>
    <phoneticPr fontId="18" type="noConversion"/>
  </si>
  <si>
    <t>下夹钳指定位置</t>
    <phoneticPr fontId="18" type="noConversion"/>
  </si>
  <si>
    <t>1-打开
-1-关闭</t>
    <phoneticPr fontId="18" type="noConversion"/>
  </si>
  <si>
    <t>连接速度，满速为1(如连接速度无法满足，则内部降为0作为连接速度）</t>
    <phoneticPr fontId="18" type="noConversion"/>
  </si>
  <si>
    <t>“&lt;&gt;1”</t>
    <phoneticPr fontId="18" type="noConversion"/>
  </si>
  <si>
    <t>“==1”</t>
    <phoneticPr fontId="18" type="noConversion"/>
  </si>
  <si>
    <t>钻台面C角</t>
    <phoneticPr fontId="18" type="noConversion"/>
  </si>
  <si>
    <t>钻台面关节角度角度</t>
    <phoneticPr fontId="18" type="noConversion"/>
  </si>
  <si>
    <t>钻台面关节
伸出长度</t>
    <phoneticPr fontId="18" type="noConversion"/>
  </si>
  <si>
    <t>固定全局模板</t>
    <phoneticPr fontId="18" type="noConversion"/>
  </si>
  <si>
    <t>即时全局模板</t>
    <phoneticPr fontId="18" type="noConversion"/>
  </si>
  <si>
    <t>该行代码执行前可修改</t>
    <phoneticPr fontId="18" type="noConversion"/>
  </si>
  <si>
    <t>【9000000-&gt;9900000】运动前从全局参数替换，在PRG-PathIO中进行赋值操作</t>
    <phoneticPr fontId="18" type="noConversion"/>
  </si>
  <si>
    <t>【8000000-9000000】运动前从模板参数替换，模板使用StationPoint即站点数据</t>
    <phoneticPr fontId="18" type="noConversion"/>
  </si>
  <si>
    <t>【9900000-&gt;】该行代码执行前从全局参数替换，在PRG-PathIO中进行赋值操作</t>
    <phoneticPr fontId="18" type="noConversion"/>
  </si>
  <si>
    <t>运动前可修改</t>
    <phoneticPr fontId="18" type="noConversion"/>
  </si>
  <si>
    <t>1-触碰成功
-1-未触碰到</t>
    <phoneticPr fontId="18" type="noConversion"/>
  </si>
  <si>
    <t>1-抓取成功
-1-未抓取到</t>
    <phoneticPr fontId="18" type="noConversion"/>
  </si>
  <si>
    <t>命令</t>
    <phoneticPr fontId="18" type="noConversion"/>
  </si>
  <si>
    <t>编码</t>
    <phoneticPr fontId="18" type="noConversion"/>
  </si>
  <si>
    <t>人员确认</t>
    <phoneticPr fontId="18" type="noConversion"/>
  </si>
  <si>
    <t>变量判断</t>
    <phoneticPr fontId="18" type="noConversion"/>
  </si>
  <si>
    <t>变量计算</t>
    <phoneticPr fontId="18" type="noConversion"/>
  </si>
  <si>
    <t>操作数1</t>
    <phoneticPr fontId="18" type="noConversion"/>
  </si>
  <si>
    <t>操作数2</t>
    <phoneticPr fontId="18" type="noConversion"/>
  </si>
  <si>
    <t>比较数1</t>
    <phoneticPr fontId="18" type="noConversion"/>
  </si>
  <si>
    <t>比较数2</t>
    <phoneticPr fontId="18" type="noConversion"/>
  </si>
  <si>
    <t>1等于2大于3小于</t>
    <phoneticPr fontId="18" type="noConversion"/>
  </si>
  <si>
    <t>1加2减3乘4除</t>
    <phoneticPr fontId="18" type="noConversion"/>
  </si>
  <si>
    <t>全局变量位置</t>
    <phoneticPr fontId="18" type="noConversion"/>
  </si>
  <si>
    <t>1-扶持打开、
-1-扶持锁紧</t>
  </si>
  <si>
    <t>本地-极坐标运行</t>
  </si>
  <si>
    <t>本地-极坐标判断</t>
  </si>
  <si>
    <t>p1 导轨</t>
  </si>
  <si>
    <t>p2 旋转</t>
  </si>
  <si>
    <t>p3 伸缩</t>
  </si>
  <si>
    <t>扩展命令</t>
  </si>
  <si>
    <t>1=猫道</t>
  </si>
  <si>
    <t>2=顶驱</t>
  </si>
  <si>
    <t>3=铁钻工</t>
  </si>
  <si>
    <t>X=1仿真</t>
  </si>
  <si>
    <t>上升</t>
  </si>
  <si>
    <t>判断上升</t>
  </si>
  <si>
    <t>下降</t>
  </si>
  <si>
    <t>判断下降</t>
  </si>
  <si>
    <t>打开</t>
  </si>
  <si>
    <t>关闭</t>
  </si>
  <si>
    <t>伸出到井口位置</t>
  </si>
  <si>
    <t>伸出到鼠洞位置</t>
  </si>
  <si>
    <t>缩回到井口位置</t>
  </si>
  <si>
    <t>缩回到鼠洞位置</t>
  </si>
  <si>
    <t>判断伸出到井口位置</t>
  </si>
  <si>
    <t>判断伸出到鼠洞位置</t>
  </si>
  <si>
    <t>判断缩回到井口位置</t>
  </si>
  <si>
    <t>判断缩回到鼠洞位置</t>
  </si>
  <si>
    <t>4=直接发送Z数据</t>
  </si>
  <si>
    <t>5=抓取的钻杆数量为Z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</si>
</sst>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6" borderId="10" xfId="0" applyFill="1" applyBorder="1" applyAlignment="1">
      <alignment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5" borderId="10" xfId="0" applyFill="1" applyBorder="1">
      <alignment vertical="center"/>
    </xf>
    <xf numFmtId="0" fontId="0" fillId="35" borderId="10" xfId="0" applyFill="1" applyBorder="1" applyAlignment="1">
      <alignment horizontal="left" vertical="center" wrapText="1"/>
    </xf>
    <xf numFmtId="0" fontId="0" fillId="35" borderId="10" xfId="0" applyFill="1" applyBorder="1" applyAlignment="1">
      <alignment vertical="center" wrapText="1"/>
    </xf>
    <xf numFmtId="0" fontId="0" fillId="37" borderId="10" xfId="0" applyFill="1" applyBorder="1">
      <alignment vertical="center"/>
    </xf>
    <xf numFmtId="0" fontId="0" fillId="37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11" xfId="0" applyFill="1" applyBorder="1">
      <alignment vertical="center"/>
    </xf>
    <xf numFmtId="0" fontId="0" fillId="0" borderId="11" xfId="0" applyBorder="1">
      <alignment vertical="center"/>
    </xf>
    <xf numFmtId="0" fontId="0" fillId="37" borderId="11" xfId="0" applyFill="1" applyBorder="1">
      <alignment vertical="center"/>
    </xf>
    <xf numFmtId="0" fontId="0" fillId="37" borderId="11" xfId="0" applyFill="1" applyBorder="1" applyAlignment="1">
      <alignment vertical="center" wrapText="1"/>
    </xf>
    <xf numFmtId="0" fontId="0" fillId="38" borderId="10" xfId="0" applyFill="1" applyBorder="1">
      <alignment vertical="center"/>
    </xf>
    <xf numFmtId="0" fontId="0" fillId="34" borderId="10" xfId="0" applyFill="1" applyBorder="1" applyAlignment="1">
      <alignment horizontal="left" vertical="center"/>
    </xf>
    <xf numFmtId="0" fontId="0" fillId="36" borderId="10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6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4" borderId="10" xfId="0" applyFill="1" applyBorder="1" applyAlignment="1">
      <alignment horizontal="left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7" borderId="1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7" borderId="1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70DE-A070-4E78-B924-40F346BFE3B4}">
  <dimension ref="A1:R46"/>
  <sheetViews>
    <sheetView zoomScaleNormal="100" workbookViewId="0">
      <pane ySplit="6" topLeftCell="A41" activePane="bottomLeft" state="frozen"/>
      <selection pane="bottomLeft" activeCell="F49" sqref="F49"/>
    </sheetView>
  </sheetViews>
  <sheetFormatPr defaultRowHeight="13.5" x14ac:dyDescent="0.15"/>
  <cols>
    <col min="1" max="1" width="23.25" style="26" customWidth="1"/>
    <col min="2" max="2" width="12.125" style="4" customWidth="1"/>
    <col min="3" max="3" width="11.375" customWidth="1"/>
    <col min="4" max="4" width="13.125" customWidth="1"/>
    <col min="5" max="5" width="13.875" customWidth="1"/>
    <col min="6" max="6" width="14.625" customWidth="1"/>
    <col min="7" max="7" width="12.75" customWidth="1"/>
    <col min="8" max="8" width="13.25" customWidth="1"/>
    <col min="9" max="9" width="11.5" customWidth="1"/>
    <col min="10" max="10" width="10.625" customWidth="1"/>
    <col min="11" max="11" width="21.625" customWidth="1"/>
    <col min="13" max="13" width="15.25" customWidth="1"/>
    <col min="14" max="14" width="18.5" customWidth="1"/>
    <col min="15" max="15" width="10.875" customWidth="1"/>
    <col min="16" max="16" width="10.25" customWidth="1"/>
    <col min="17" max="17" width="16.75" customWidth="1"/>
    <col min="18" max="18" width="13.5" customWidth="1"/>
  </cols>
  <sheetData>
    <row r="1" spans="1:18" x14ac:dyDescent="0.15">
      <c r="A1" s="33"/>
      <c r="B1" s="5" t="s">
        <v>29</v>
      </c>
      <c r="C1" s="1"/>
      <c r="D1" s="34" t="s">
        <v>121</v>
      </c>
      <c r="E1" s="34"/>
      <c r="F1" s="34"/>
      <c r="G1" s="34"/>
      <c r="H1" s="34"/>
      <c r="I1" s="34"/>
      <c r="J1" s="34"/>
      <c r="K1" s="31" t="s">
        <v>123</v>
      </c>
      <c r="L1" s="2"/>
      <c r="M1" s="2"/>
      <c r="N1" s="2"/>
      <c r="O1" s="2"/>
      <c r="P1" s="2"/>
      <c r="Q1" s="2"/>
      <c r="R1" s="2"/>
    </row>
    <row r="2" spans="1:18" x14ac:dyDescent="0.15">
      <c r="A2" s="33"/>
      <c r="B2" s="5" t="s">
        <v>117</v>
      </c>
      <c r="C2" s="1"/>
      <c r="D2" s="34" t="s">
        <v>120</v>
      </c>
      <c r="E2" s="34"/>
      <c r="F2" s="34"/>
      <c r="G2" s="34"/>
      <c r="H2" s="34"/>
      <c r="I2" s="34"/>
      <c r="J2" s="34"/>
      <c r="K2" s="32"/>
      <c r="L2" s="2"/>
      <c r="M2" s="2"/>
      <c r="N2" s="2"/>
      <c r="O2" s="2"/>
      <c r="P2" s="2"/>
      <c r="Q2" s="2"/>
      <c r="R2" s="2"/>
    </row>
    <row r="3" spans="1:18" x14ac:dyDescent="0.15">
      <c r="A3" s="33"/>
      <c r="B3" s="5" t="s">
        <v>118</v>
      </c>
      <c r="C3" s="1"/>
      <c r="D3" s="34" t="s">
        <v>122</v>
      </c>
      <c r="E3" s="34"/>
      <c r="F3" s="34"/>
      <c r="G3" s="34"/>
      <c r="H3" s="34"/>
      <c r="I3" s="34"/>
      <c r="J3" s="34"/>
      <c r="K3" s="12" t="s">
        <v>119</v>
      </c>
      <c r="L3" s="2"/>
      <c r="M3" s="2"/>
      <c r="N3" s="2"/>
      <c r="O3" s="2"/>
      <c r="P3" s="2"/>
      <c r="Q3" s="2" t="s">
        <v>78</v>
      </c>
      <c r="R3" s="2"/>
    </row>
    <row r="4" spans="1:18" x14ac:dyDescent="0.15">
      <c r="A4" s="33"/>
      <c r="B4" s="5" t="s">
        <v>0</v>
      </c>
      <c r="C4" s="1"/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12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13</v>
      </c>
      <c r="Q4" s="1" t="s">
        <v>14</v>
      </c>
      <c r="R4" s="1" t="s">
        <v>15</v>
      </c>
    </row>
    <row r="5" spans="1:18" x14ac:dyDescent="0.15">
      <c r="A5" s="22" t="s">
        <v>71</v>
      </c>
      <c r="B5" s="6" t="s">
        <v>16</v>
      </c>
      <c r="C5" s="2" t="s">
        <v>81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25</v>
      </c>
      <c r="K5" s="2" t="s">
        <v>60</v>
      </c>
      <c r="L5" s="2" t="s">
        <v>62</v>
      </c>
      <c r="M5" s="2" t="s">
        <v>61</v>
      </c>
      <c r="N5" s="2" t="s">
        <v>23</v>
      </c>
      <c r="O5" s="2" t="s">
        <v>24</v>
      </c>
      <c r="P5" s="2" t="s">
        <v>26</v>
      </c>
      <c r="Q5" s="2" t="s">
        <v>27</v>
      </c>
      <c r="R5" s="2" t="s">
        <v>28</v>
      </c>
    </row>
    <row r="6" spans="1:18" s="3" customFormat="1" ht="95.25" customHeight="1" x14ac:dyDescent="0.15">
      <c r="A6" s="23" t="s">
        <v>30</v>
      </c>
      <c r="B6" s="8" t="s">
        <v>72</v>
      </c>
      <c r="C6" s="7"/>
      <c r="D6" s="7"/>
      <c r="E6" s="7"/>
      <c r="F6" s="7"/>
      <c r="G6" s="7"/>
      <c r="H6" s="7"/>
      <c r="I6" s="7"/>
      <c r="J6" s="7"/>
      <c r="K6" s="7" t="s">
        <v>73</v>
      </c>
      <c r="L6" s="7" t="s">
        <v>74</v>
      </c>
      <c r="M6" s="7" t="s">
        <v>75</v>
      </c>
      <c r="N6" s="7" t="s">
        <v>76</v>
      </c>
      <c r="O6" s="7" t="s">
        <v>77</v>
      </c>
      <c r="P6" s="7" t="s">
        <v>111</v>
      </c>
      <c r="Q6" s="7" t="s">
        <v>79</v>
      </c>
      <c r="R6" s="7" t="s">
        <v>80</v>
      </c>
    </row>
    <row r="7" spans="1:18" ht="43.9" customHeight="1" x14ac:dyDescent="0.15">
      <c r="A7" s="24" t="s">
        <v>31</v>
      </c>
      <c r="B7" s="6">
        <v>1</v>
      </c>
      <c r="C7" s="30" t="s">
        <v>82</v>
      </c>
      <c r="D7" s="2"/>
      <c r="E7" s="2"/>
      <c r="F7" s="9" t="s">
        <v>63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43.9" customHeight="1" x14ac:dyDescent="0.15">
      <c r="A8" s="24" t="s">
        <v>32</v>
      </c>
      <c r="B8" s="6">
        <v>2</v>
      </c>
      <c r="C8" s="30"/>
      <c r="D8" s="2"/>
      <c r="E8" s="2"/>
      <c r="F8" s="9" t="s">
        <v>63</v>
      </c>
      <c r="G8" s="2"/>
      <c r="H8" s="2"/>
      <c r="I8" s="2"/>
      <c r="J8" s="9" t="s">
        <v>64</v>
      </c>
      <c r="K8" s="2"/>
      <c r="L8" s="2"/>
      <c r="M8" s="2"/>
      <c r="N8" s="2"/>
      <c r="O8" s="2"/>
      <c r="P8" s="2"/>
      <c r="Q8" s="2"/>
      <c r="R8" s="2"/>
    </row>
    <row r="9" spans="1:18" ht="43.9" customHeight="1" x14ac:dyDescent="0.15">
      <c r="A9" s="24" t="s">
        <v>33</v>
      </c>
      <c r="B9" s="6">
        <v>3</v>
      </c>
      <c r="C9" s="30"/>
      <c r="D9" s="10" t="s">
        <v>65</v>
      </c>
      <c r="E9" s="9" t="s">
        <v>65</v>
      </c>
      <c r="F9" s="9" t="s">
        <v>63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43.9" customHeight="1" x14ac:dyDescent="0.15">
      <c r="A10" s="24" t="s">
        <v>34</v>
      </c>
      <c r="B10" s="6">
        <v>4</v>
      </c>
      <c r="C10" s="30"/>
      <c r="D10" s="2"/>
      <c r="E10" s="2"/>
      <c r="F10" s="9" t="s">
        <v>63</v>
      </c>
      <c r="G10" s="2"/>
      <c r="H10" s="2"/>
      <c r="I10" s="11" t="s">
        <v>69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ht="43.9" customHeight="1" x14ac:dyDescent="0.15">
      <c r="A11" s="24" t="s">
        <v>35</v>
      </c>
      <c r="B11" s="6">
        <v>5</v>
      </c>
      <c r="C11" s="30"/>
      <c r="D11" s="2"/>
      <c r="E11" s="2"/>
      <c r="F11" s="9" t="s">
        <v>63</v>
      </c>
      <c r="G11" s="11" t="s">
        <v>68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43.9" customHeight="1" x14ac:dyDescent="0.15">
      <c r="A12" s="24" t="s">
        <v>36</v>
      </c>
      <c r="B12" s="6">
        <v>6</v>
      </c>
      <c r="C12" s="30"/>
      <c r="D12" s="2"/>
      <c r="E12" s="2"/>
      <c r="F12" s="9" t="s">
        <v>63</v>
      </c>
      <c r="G12" s="2"/>
      <c r="H12" s="9" t="s">
        <v>70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43.9" customHeight="1" x14ac:dyDescent="0.15">
      <c r="A13" s="35" t="s">
        <v>40</v>
      </c>
      <c r="B13" s="30">
        <v>8</v>
      </c>
      <c r="C13" s="30"/>
      <c r="D13" s="16" t="s">
        <v>65</v>
      </c>
      <c r="E13" s="17" t="s">
        <v>65</v>
      </c>
      <c r="F13" s="17" t="s">
        <v>63</v>
      </c>
      <c r="G13" s="17" t="s">
        <v>67</v>
      </c>
      <c r="H13" s="17" t="s">
        <v>70</v>
      </c>
      <c r="I13" s="17" t="s">
        <v>66</v>
      </c>
      <c r="J13" s="17" t="s">
        <v>64</v>
      </c>
      <c r="K13" s="2"/>
      <c r="L13" s="2"/>
      <c r="M13" s="2"/>
      <c r="N13" s="2"/>
      <c r="O13" s="2"/>
      <c r="P13" s="2"/>
      <c r="Q13" s="2"/>
      <c r="R13" s="2"/>
    </row>
    <row r="14" spans="1:18" ht="43.9" customHeight="1" x14ac:dyDescent="0.15">
      <c r="A14" s="35"/>
      <c r="B14" s="30"/>
      <c r="C14" s="30"/>
      <c r="D14" s="36" t="s">
        <v>85</v>
      </c>
      <c r="E14" s="36"/>
      <c r="F14" s="36"/>
      <c r="G14" s="36"/>
      <c r="H14" s="36"/>
      <c r="I14" s="36"/>
      <c r="J14" s="36"/>
      <c r="K14" s="2"/>
      <c r="L14" s="2"/>
      <c r="M14" s="2"/>
      <c r="N14" s="2"/>
      <c r="O14" s="2"/>
      <c r="P14" s="2"/>
      <c r="Q14" s="2"/>
      <c r="R14" s="2"/>
    </row>
    <row r="15" spans="1:18" ht="43.9" customHeight="1" x14ac:dyDescent="0.15">
      <c r="A15" s="35" t="s">
        <v>41</v>
      </c>
      <c r="B15" s="30">
        <v>9</v>
      </c>
      <c r="C15" s="30"/>
      <c r="D15" s="16" t="s">
        <v>65</v>
      </c>
      <c r="E15" s="17" t="s">
        <v>65</v>
      </c>
      <c r="F15" s="17" t="s">
        <v>63</v>
      </c>
      <c r="G15" s="17" t="s">
        <v>67</v>
      </c>
      <c r="H15" s="17" t="s">
        <v>70</v>
      </c>
      <c r="I15" s="17" t="s">
        <v>66</v>
      </c>
      <c r="J15" s="17" t="s">
        <v>64</v>
      </c>
      <c r="K15" s="2"/>
      <c r="L15" s="2"/>
      <c r="M15" s="2"/>
      <c r="N15" s="2"/>
      <c r="O15" s="2"/>
      <c r="P15" s="2"/>
      <c r="Q15" s="2"/>
      <c r="R15" s="2"/>
    </row>
    <row r="16" spans="1:18" ht="43.9" customHeight="1" x14ac:dyDescent="0.15">
      <c r="A16" s="35"/>
      <c r="B16" s="30"/>
      <c r="C16" s="30"/>
      <c r="D16" s="40"/>
      <c r="E16" s="40"/>
      <c r="F16" s="40"/>
      <c r="G16" s="40"/>
      <c r="H16" s="40"/>
      <c r="I16" s="40"/>
      <c r="J16" s="40"/>
      <c r="K16" s="2"/>
      <c r="L16" s="2"/>
      <c r="M16" s="2"/>
      <c r="N16" s="2"/>
      <c r="O16" s="2"/>
      <c r="P16" s="2"/>
      <c r="Q16" s="2"/>
      <c r="R16" s="2"/>
    </row>
    <row r="17" spans="1:18" ht="43.9" customHeight="1" x14ac:dyDescent="0.15">
      <c r="A17" s="35"/>
      <c r="B17" s="30"/>
      <c r="C17" s="30"/>
      <c r="D17" s="36" t="s">
        <v>86</v>
      </c>
      <c r="E17" s="36"/>
      <c r="F17" s="36"/>
      <c r="G17" s="36"/>
      <c r="H17" s="36"/>
      <c r="I17" s="36"/>
      <c r="J17" s="36"/>
      <c r="K17" s="2"/>
      <c r="L17" s="2"/>
      <c r="M17" s="2"/>
      <c r="N17" s="2"/>
      <c r="O17" s="2"/>
      <c r="P17" s="2"/>
      <c r="Q17" s="2"/>
      <c r="R17" s="2"/>
    </row>
    <row r="18" spans="1:18" ht="43.9" customHeight="1" x14ac:dyDescent="0.15">
      <c r="A18" s="24" t="s">
        <v>49</v>
      </c>
      <c r="B18" s="6">
        <v>14</v>
      </c>
      <c r="C18" s="30"/>
      <c r="D18" s="2"/>
      <c r="E18" s="2"/>
      <c r="F18" s="9" t="s">
        <v>63</v>
      </c>
      <c r="G18" s="2"/>
      <c r="H18" s="2"/>
      <c r="I18" s="11" t="s">
        <v>69</v>
      </c>
      <c r="J18" s="9" t="s">
        <v>64</v>
      </c>
      <c r="K18" s="2"/>
      <c r="L18" s="2"/>
      <c r="M18" s="2"/>
      <c r="N18" s="2"/>
      <c r="O18" s="2"/>
      <c r="P18" s="2"/>
      <c r="Q18" s="2"/>
      <c r="R18" s="2"/>
    </row>
    <row r="19" spans="1:18" ht="43.9" customHeight="1" x14ac:dyDescent="0.15">
      <c r="A19" s="28" t="s">
        <v>50</v>
      </c>
      <c r="B19" s="37">
        <v>15</v>
      </c>
      <c r="C19" s="30"/>
      <c r="D19" s="16" t="s">
        <v>65</v>
      </c>
      <c r="E19" s="18"/>
      <c r="F19" s="18"/>
      <c r="G19" s="19" t="s">
        <v>90</v>
      </c>
      <c r="H19" s="17" t="s">
        <v>70</v>
      </c>
      <c r="I19" s="20" t="s">
        <v>89</v>
      </c>
      <c r="J19" s="17" t="s">
        <v>64</v>
      </c>
      <c r="K19" s="2"/>
      <c r="L19" s="2"/>
      <c r="M19" s="2"/>
      <c r="N19" s="2"/>
      <c r="O19" s="2"/>
      <c r="P19" s="2"/>
      <c r="Q19" s="2"/>
      <c r="R19" s="2"/>
    </row>
    <row r="20" spans="1:18" ht="43.9" customHeight="1" x14ac:dyDescent="0.15">
      <c r="A20" s="29"/>
      <c r="B20" s="38"/>
      <c r="C20" s="30"/>
      <c r="D20" s="36" t="s">
        <v>88</v>
      </c>
      <c r="E20" s="36"/>
      <c r="F20" s="36"/>
      <c r="G20" s="36"/>
      <c r="H20" s="36"/>
      <c r="I20" s="36"/>
      <c r="J20" s="36"/>
      <c r="K20" s="2"/>
      <c r="L20" s="2"/>
      <c r="M20" s="2"/>
      <c r="N20" s="2"/>
      <c r="O20" s="2"/>
      <c r="P20" s="2"/>
      <c r="Q20" s="2"/>
      <c r="R20" s="2"/>
    </row>
    <row r="21" spans="1:18" s="3" customFormat="1" ht="43.9" customHeight="1" x14ac:dyDescent="0.15">
      <c r="A21" s="25" t="s">
        <v>51</v>
      </c>
      <c r="B21" s="15">
        <v>16</v>
      </c>
      <c r="C21" s="30"/>
      <c r="D21" s="14"/>
      <c r="E21" s="10" t="s">
        <v>65</v>
      </c>
      <c r="F21" s="11" t="s">
        <v>63</v>
      </c>
      <c r="G21" s="11" t="s">
        <v>67</v>
      </c>
      <c r="H21" s="11" t="s">
        <v>70</v>
      </c>
      <c r="I21" s="13" t="s">
        <v>87</v>
      </c>
      <c r="J21" s="11" t="s">
        <v>64</v>
      </c>
      <c r="K21" s="14"/>
      <c r="L21" s="14"/>
      <c r="M21" s="14"/>
      <c r="N21" s="14"/>
      <c r="O21" s="14"/>
      <c r="P21" s="14"/>
      <c r="Q21" s="14"/>
      <c r="R21" s="14"/>
    </row>
    <row r="22" spans="1:18" ht="43.9" customHeight="1" x14ac:dyDescent="0.15">
      <c r="A22" s="24" t="s">
        <v>52</v>
      </c>
      <c r="B22" s="6">
        <v>11</v>
      </c>
      <c r="C22" s="30"/>
      <c r="D22" s="2"/>
      <c r="E22" s="2"/>
      <c r="F22" s="11" t="s">
        <v>84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12" t="s">
        <v>91</v>
      </c>
      <c r="R22" s="2"/>
    </row>
    <row r="23" spans="1:18" ht="43.9" customHeight="1" x14ac:dyDescent="0.15">
      <c r="A23" s="24" t="s">
        <v>37</v>
      </c>
      <c r="B23" s="6">
        <v>21</v>
      </c>
      <c r="C23" s="37" t="s">
        <v>83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43.9" customHeight="1" x14ac:dyDescent="0.15">
      <c r="A24" s="24" t="s">
        <v>38</v>
      </c>
      <c r="B24" s="6">
        <v>91</v>
      </c>
      <c r="C24" s="39"/>
      <c r="D24" s="30" t="s">
        <v>93</v>
      </c>
      <c r="E24" s="30"/>
      <c r="F24" s="30"/>
      <c r="G24" s="30"/>
      <c r="H24" s="30"/>
      <c r="I24" s="30"/>
      <c r="J24" s="30"/>
      <c r="K24" s="2"/>
      <c r="L24" s="2"/>
      <c r="M24" s="2"/>
      <c r="N24" s="2"/>
      <c r="O24" s="2"/>
      <c r="P24" s="2"/>
      <c r="Q24" s="2"/>
      <c r="R24" s="2"/>
    </row>
    <row r="25" spans="1:18" ht="43.9" customHeight="1" x14ac:dyDescent="0.15">
      <c r="A25" s="24" t="s">
        <v>39</v>
      </c>
      <c r="B25" s="6">
        <v>92</v>
      </c>
      <c r="C25" s="39"/>
      <c r="D25" s="30" t="s">
        <v>92</v>
      </c>
      <c r="E25" s="30"/>
      <c r="F25" s="30"/>
      <c r="G25" s="30"/>
      <c r="H25" s="30"/>
      <c r="I25" s="30"/>
      <c r="J25" s="30"/>
      <c r="K25" s="2"/>
      <c r="L25" s="2"/>
      <c r="M25" s="2"/>
      <c r="N25" s="2"/>
      <c r="O25" s="2"/>
      <c r="P25" s="2"/>
      <c r="Q25" s="2"/>
      <c r="R25" s="2"/>
    </row>
    <row r="26" spans="1:18" ht="43.9" customHeight="1" x14ac:dyDescent="0.15">
      <c r="A26" s="24" t="s">
        <v>42</v>
      </c>
      <c r="B26" s="6">
        <v>93</v>
      </c>
      <c r="C26" s="39"/>
      <c r="D26" s="30" t="s">
        <v>94</v>
      </c>
      <c r="E26" s="30"/>
      <c r="F26" s="30"/>
      <c r="G26" s="30"/>
      <c r="H26" s="30"/>
      <c r="I26" s="30"/>
      <c r="J26" s="30"/>
      <c r="K26" s="2"/>
      <c r="L26" s="2"/>
      <c r="M26" s="2"/>
      <c r="N26" s="2"/>
      <c r="O26" s="2"/>
      <c r="P26" s="2"/>
      <c r="Q26" s="2"/>
      <c r="R26" s="2"/>
    </row>
    <row r="27" spans="1:18" s="3" customFormat="1" ht="43.9" customHeight="1" x14ac:dyDescent="0.15">
      <c r="A27" s="25" t="s">
        <v>43</v>
      </c>
      <c r="B27" s="15">
        <v>31</v>
      </c>
      <c r="C27" s="39"/>
      <c r="D27" s="41" t="s">
        <v>98</v>
      </c>
      <c r="E27" s="41"/>
      <c r="F27" s="41"/>
      <c r="G27" s="41"/>
      <c r="H27" s="41"/>
      <c r="I27" s="41"/>
      <c r="J27" s="41"/>
      <c r="K27" s="14"/>
      <c r="L27" s="14"/>
      <c r="M27" s="14"/>
      <c r="N27" s="14"/>
      <c r="O27" s="14"/>
      <c r="P27" s="14"/>
      <c r="Q27" s="14"/>
      <c r="R27" s="14"/>
    </row>
    <row r="28" spans="1:18" ht="43.9" customHeight="1" x14ac:dyDescent="0.15">
      <c r="A28" s="24" t="s">
        <v>44</v>
      </c>
      <c r="B28" s="6">
        <v>32</v>
      </c>
      <c r="C28" s="39"/>
      <c r="D28" s="30"/>
      <c r="E28" s="30"/>
      <c r="F28" s="30"/>
      <c r="G28" s="30"/>
      <c r="H28" s="30"/>
      <c r="I28" s="30"/>
      <c r="J28" s="30"/>
      <c r="K28" s="2"/>
      <c r="L28" s="2"/>
      <c r="M28" s="2"/>
      <c r="N28" s="2"/>
      <c r="O28" s="2"/>
      <c r="P28" s="2"/>
      <c r="Q28" s="2"/>
      <c r="R28" s="2"/>
    </row>
    <row r="29" spans="1:18" ht="43.9" customHeight="1" x14ac:dyDescent="0.15">
      <c r="A29" s="24" t="s">
        <v>45</v>
      </c>
      <c r="B29" s="6">
        <v>33</v>
      </c>
      <c r="C29" s="39"/>
      <c r="D29" s="9" t="s">
        <v>96</v>
      </c>
      <c r="E29" s="9" t="s">
        <v>97</v>
      </c>
      <c r="F29" s="2"/>
      <c r="G29" s="2"/>
      <c r="H29" s="2"/>
      <c r="I29" s="9" t="s">
        <v>66</v>
      </c>
      <c r="J29" s="9" t="s">
        <v>95</v>
      </c>
      <c r="K29" s="2"/>
      <c r="L29" s="2"/>
      <c r="M29" s="2"/>
      <c r="N29" s="2"/>
      <c r="O29" s="2"/>
      <c r="P29" s="2"/>
      <c r="Q29" s="2"/>
      <c r="R29" s="2"/>
    </row>
    <row r="30" spans="1:18" ht="43.9" customHeight="1" x14ac:dyDescent="0.15">
      <c r="A30" s="24" t="s">
        <v>46</v>
      </c>
      <c r="B30" s="6">
        <v>35</v>
      </c>
      <c r="C30" s="3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43.9" customHeight="1" x14ac:dyDescent="0.15">
      <c r="A31" s="24" t="s">
        <v>47</v>
      </c>
      <c r="B31" s="6">
        <v>36</v>
      </c>
      <c r="C31" s="3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43.9" customHeight="1" x14ac:dyDescent="0.15">
      <c r="A32" s="28" t="s">
        <v>48</v>
      </c>
      <c r="B32" s="37">
        <v>37</v>
      </c>
      <c r="C32" s="39"/>
      <c r="D32" s="9" t="s">
        <v>96</v>
      </c>
      <c r="E32" s="9" t="s">
        <v>97</v>
      </c>
      <c r="F32" s="2" t="s">
        <v>112</v>
      </c>
      <c r="G32" s="2"/>
      <c r="H32" s="2"/>
      <c r="I32" s="9" t="s">
        <v>114</v>
      </c>
      <c r="J32" s="9" t="s">
        <v>95</v>
      </c>
      <c r="K32" s="2"/>
      <c r="L32" s="2"/>
      <c r="M32" s="2"/>
      <c r="N32" s="2"/>
      <c r="O32" s="2"/>
      <c r="P32" s="2"/>
      <c r="Q32" s="2"/>
      <c r="R32" s="2"/>
    </row>
    <row r="33" spans="1:18" ht="43.9" customHeight="1" x14ac:dyDescent="0.15">
      <c r="A33" s="29"/>
      <c r="B33" s="38"/>
      <c r="C33" s="39"/>
      <c r="D33" s="21"/>
      <c r="E33" s="11" t="s">
        <v>116</v>
      </c>
      <c r="F33" s="2" t="s">
        <v>113</v>
      </c>
      <c r="G33" s="2"/>
      <c r="H33" s="2"/>
      <c r="I33" s="11" t="s">
        <v>115</v>
      </c>
      <c r="J33" s="9" t="s">
        <v>95</v>
      </c>
      <c r="K33" s="2"/>
      <c r="L33" s="2"/>
      <c r="M33" s="2"/>
      <c r="N33" s="2"/>
      <c r="O33" s="2"/>
      <c r="P33" s="2"/>
      <c r="Q33" s="2"/>
      <c r="R33" s="2"/>
    </row>
    <row r="34" spans="1:18" ht="43.9" customHeight="1" x14ac:dyDescent="0.15">
      <c r="A34" s="24" t="s">
        <v>53</v>
      </c>
      <c r="B34" s="6">
        <v>22</v>
      </c>
      <c r="C34" s="39"/>
      <c r="D34" s="11" t="s">
        <v>99</v>
      </c>
      <c r="E34" s="11" t="s">
        <v>103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43.9" customHeight="1" x14ac:dyDescent="0.15">
      <c r="A35" s="24" t="s">
        <v>54</v>
      </c>
      <c r="B35" s="6">
        <v>23</v>
      </c>
      <c r="C35" s="39"/>
      <c r="D35" s="11" t="s">
        <v>99</v>
      </c>
      <c r="E35" s="11" t="s">
        <v>101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43.9" customHeight="1" x14ac:dyDescent="0.15">
      <c r="A36" s="24" t="s">
        <v>55</v>
      </c>
      <c r="B36" s="6">
        <v>24</v>
      </c>
      <c r="C36" s="39"/>
      <c r="D36" s="11" t="s">
        <v>102</v>
      </c>
      <c r="E36" s="11" t="s">
        <v>100</v>
      </c>
      <c r="F36" s="11" t="s">
        <v>138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43.9" customHeight="1" x14ac:dyDescent="0.15">
      <c r="A37" s="24" t="s">
        <v>56</v>
      </c>
      <c r="B37" s="6">
        <v>25</v>
      </c>
      <c r="C37" s="39"/>
      <c r="D37" s="11" t="s">
        <v>102</v>
      </c>
      <c r="E37" s="11" t="s">
        <v>100</v>
      </c>
      <c r="F37" s="11" t="s">
        <v>138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68.45" customHeight="1" x14ac:dyDescent="0.15">
      <c r="A38" s="24" t="s">
        <v>57</v>
      </c>
      <c r="B38" s="6">
        <v>26</v>
      </c>
      <c r="C38" s="39"/>
      <c r="D38" s="11" t="s">
        <v>104</v>
      </c>
      <c r="E38" s="11" t="s">
        <v>105</v>
      </c>
      <c r="F38" s="11" t="s">
        <v>106</v>
      </c>
      <c r="G38" s="11" t="s">
        <v>107</v>
      </c>
      <c r="H38" s="11" t="s">
        <v>108</v>
      </c>
      <c r="I38" s="11" t="s">
        <v>109</v>
      </c>
      <c r="J38" s="2"/>
      <c r="K38" s="2"/>
      <c r="L38" s="2"/>
      <c r="M38" s="2"/>
      <c r="N38" s="2"/>
      <c r="O38" s="2"/>
      <c r="P38" s="2"/>
      <c r="Q38" s="2"/>
      <c r="R38" s="2"/>
    </row>
    <row r="39" spans="1:18" ht="70.150000000000006" customHeight="1" x14ac:dyDescent="0.15">
      <c r="A39" s="24" t="s">
        <v>58</v>
      </c>
      <c r="B39" s="6">
        <v>27</v>
      </c>
      <c r="C39" s="39"/>
      <c r="D39" s="11" t="s">
        <v>104</v>
      </c>
      <c r="E39" s="11" t="s">
        <v>105</v>
      </c>
      <c r="F39" s="11" t="s">
        <v>106</v>
      </c>
      <c r="G39" s="11" t="s">
        <v>124</v>
      </c>
      <c r="H39" s="11" t="s">
        <v>125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43.9" customHeight="1" x14ac:dyDescent="0.15">
      <c r="A40" s="24" t="s">
        <v>128</v>
      </c>
      <c r="B40" s="6">
        <v>28</v>
      </c>
      <c r="C40" s="39"/>
      <c r="D40" s="11"/>
      <c r="E40" s="11"/>
      <c r="F40" s="11"/>
      <c r="G40" s="11"/>
      <c r="H40" s="11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43.9" customHeight="1" x14ac:dyDescent="0.15">
      <c r="A41" s="24" t="s">
        <v>59</v>
      </c>
      <c r="B41" s="6">
        <v>38</v>
      </c>
      <c r="C41" s="39"/>
      <c r="D41" s="11" t="s">
        <v>110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s="3" customFormat="1" ht="43.9" customHeight="1" x14ac:dyDescent="0.15">
      <c r="A42" s="25" t="s">
        <v>129</v>
      </c>
      <c r="B42" s="15">
        <v>41</v>
      </c>
      <c r="C42" s="39"/>
      <c r="D42" s="11" t="s">
        <v>133</v>
      </c>
      <c r="E42" s="11" t="s">
        <v>134</v>
      </c>
      <c r="F42" s="14"/>
      <c r="G42" s="11" t="s">
        <v>135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8" ht="43.9" customHeight="1" x14ac:dyDescent="0.15">
      <c r="A43" s="24" t="s">
        <v>130</v>
      </c>
      <c r="B43" s="6">
        <v>42</v>
      </c>
      <c r="C43" s="39"/>
      <c r="D43" s="11" t="s">
        <v>131</v>
      </c>
      <c r="E43" s="11" t="s">
        <v>132</v>
      </c>
      <c r="F43" s="9" t="s">
        <v>137</v>
      </c>
      <c r="G43" s="9" t="s">
        <v>136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57.75" customHeight="1" x14ac:dyDescent="0.15">
      <c r="A44" s="26" t="s">
        <v>139</v>
      </c>
      <c r="B44" s="4">
        <v>51</v>
      </c>
      <c r="C44" s="4"/>
      <c r="D44" s="4" t="s">
        <v>141</v>
      </c>
      <c r="E44" s="4" t="s">
        <v>142</v>
      </c>
      <c r="F44" s="4" t="s">
        <v>143</v>
      </c>
    </row>
    <row r="45" spans="1:18" ht="37.5" customHeight="1" x14ac:dyDescent="0.15">
      <c r="A45" s="26" t="s">
        <v>140</v>
      </c>
      <c r="B45" s="4">
        <v>52</v>
      </c>
      <c r="D45" s="4" t="s">
        <v>141</v>
      </c>
      <c r="E45" s="4" t="s">
        <v>142</v>
      </c>
      <c r="F45" s="4" t="s">
        <v>143</v>
      </c>
    </row>
    <row r="46" spans="1:18" ht="44.25" customHeight="1" x14ac:dyDescent="0.15">
      <c r="A46" s="26" t="s">
        <v>144</v>
      </c>
      <c r="B46" s="4">
        <v>29</v>
      </c>
    </row>
  </sheetData>
  <mergeCells count="24">
    <mergeCell ref="D28:J28"/>
    <mergeCell ref="B19:B20"/>
    <mergeCell ref="D2:J2"/>
    <mergeCell ref="D26:J26"/>
    <mergeCell ref="D24:J24"/>
    <mergeCell ref="C23:C43"/>
    <mergeCell ref="D16:J16"/>
    <mergeCell ref="D27:J27"/>
    <mergeCell ref="A19:A20"/>
    <mergeCell ref="D25:J25"/>
    <mergeCell ref="K1:K2"/>
    <mergeCell ref="A32:A33"/>
    <mergeCell ref="A1:A4"/>
    <mergeCell ref="D1:J1"/>
    <mergeCell ref="D3:J3"/>
    <mergeCell ref="C7:C22"/>
    <mergeCell ref="A13:A14"/>
    <mergeCell ref="D14:J14"/>
    <mergeCell ref="D17:J17"/>
    <mergeCell ref="A15:A17"/>
    <mergeCell ref="B13:B14"/>
    <mergeCell ref="B15:B17"/>
    <mergeCell ref="D20:J20"/>
    <mergeCell ref="B32:B3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C60C-710B-4C1F-AF4A-9B195BAE2766}">
  <dimension ref="A1:H44"/>
  <sheetViews>
    <sheetView topLeftCell="A10" workbookViewId="0">
      <selection activeCell="H13" sqref="H13"/>
    </sheetView>
  </sheetViews>
  <sheetFormatPr defaultRowHeight="13.5" x14ac:dyDescent="0.15"/>
  <cols>
    <col min="7" max="7" width="22.625" style="4" customWidth="1"/>
    <col min="8" max="8" width="9" style="4"/>
  </cols>
  <sheetData>
    <row r="1" spans="1:8" x14ac:dyDescent="0.15">
      <c r="A1">
        <v>13</v>
      </c>
      <c r="B1">
        <f>(A1-4)/16*25</f>
        <v>14.0625</v>
      </c>
    </row>
    <row r="13" spans="1:8" x14ac:dyDescent="0.15">
      <c r="G13" s="27" t="s">
        <v>126</v>
      </c>
      <c r="H13" s="27" t="s">
        <v>127</v>
      </c>
    </row>
    <row r="14" spans="1:8" x14ac:dyDescent="0.15">
      <c r="G14" s="6" t="s">
        <v>31</v>
      </c>
      <c r="H14" s="6">
        <v>1</v>
      </c>
    </row>
    <row r="15" spans="1:8" x14ac:dyDescent="0.15">
      <c r="G15" s="6" t="s">
        <v>32</v>
      </c>
      <c r="H15" s="6">
        <v>2</v>
      </c>
    </row>
    <row r="16" spans="1:8" x14ac:dyDescent="0.15">
      <c r="G16" s="6" t="s">
        <v>33</v>
      </c>
      <c r="H16" s="6">
        <v>3</v>
      </c>
    </row>
    <row r="17" spans="7:8" x14ac:dyDescent="0.15">
      <c r="G17" s="6" t="s">
        <v>34</v>
      </c>
      <c r="H17" s="6">
        <v>4</v>
      </c>
    </row>
    <row r="18" spans="7:8" x14ac:dyDescent="0.15">
      <c r="G18" s="6" t="s">
        <v>35</v>
      </c>
      <c r="H18" s="6">
        <v>5</v>
      </c>
    </row>
    <row r="19" spans="7:8" x14ac:dyDescent="0.15">
      <c r="G19" s="6" t="s">
        <v>36</v>
      </c>
      <c r="H19" s="6">
        <v>6</v>
      </c>
    </row>
    <row r="20" spans="7:8" x14ac:dyDescent="0.15">
      <c r="G20" s="6" t="s">
        <v>40</v>
      </c>
      <c r="H20" s="6">
        <v>8</v>
      </c>
    </row>
    <row r="21" spans="7:8" x14ac:dyDescent="0.15">
      <c r="G21" s="6" t="s">
        <v>41</v>
      </c>
      <c r="H21" s="6">
        <v>9</v>
      </c>
    </row>
    <row r="22" spans="7:8" x14ac:dyDescent="0.15">
      <c r="G22" s="6" t="s">
        <v>49</v>
      </c>
      <c r="H22" s="6">
        <v>14</v>
      </c>
    </row>
    <row r="23" spans="7:8" x14ac:dyDescent="0.15">
      <c r="G23" s="6" t="s">
        <v>50</v>
      </c>
      <c r="H23" s="6">
        <v>15</v>
      </c>
    </row>
    <row r="24" spans="7:8" x14ac:dyDescent="0.15">
      <c r="G24" s="15" t="s">
        <v>51</v>
      </c>
      <c r="H24" s="15">
        <v>16</v>
      </c>
    </row>
    <row r="25" spans="7:8" x14ac:dyDescent="0.15">
      <c r="G25" s="6" t="s">
        <v>52</v>
      </c>
      <c r="H25" s="6">
        <v>11</v>
      </c>
    </row>
    <row r="26" spans="7:8" x14ac:dyDescent="0.15">
      <c r="G26" s="6" t="s">
        <v>37</v>
      </c>
      <c r="H26" s="6">
        <v>21</v>
      </c>
    </row>
    <row r="27" spans="7:8" x14ac:dyDescent="0.15">
      <c r="G27" s="6" t="s">
        <v>38</v>
      </c>
      <c r="H27" s="6">
        <v>91</v>
      </c>
    </row>
    <row r="28" spans="7:8" x14ac:dyDescent="0.15">
      <c r="G28" s="6" t="s">
        <v>39</v>
      </c>
      <c r="H28" s="6">
        <v>92</v>
      </c>
    </row>
    <row r="29" spans="7:8" x14ac:dyDescent="0.15">
      <c r="G29" s="6" t="s">
        <v>42</v>
      </c>
      <c r="H29" s="6">
        <v>93</v>
      </c>
    </row>
    <row r="30" spans="7:8" x14ac:dyDescent="0.15">
      <c r="G30" s="15" t="s">
        <v>43</v>
      </c>
      <c r="H30" s="15">
        <v>31</v>
      </c>
    </row>
    <row r="31" spans="7:8" x14ac:dyDescent="0.15">
      <c r="G31" s="6" t="s">
        <v>44</v>
      </c>
      <c r="H31" s="6">
        <v>32</v>
      </c>
    </row>
    <row r="32" spans="7:8" x14ac:dyDescent="0.15">
      <c r="G32" s="6" t="s">
        <v>45</v>
      </c>
      <c r="H32" s="6">
        <v>33</v>
      </c>
    </row>
    <row r="33" spans="7:8" x14ac:dyDescent="0.15">
      <c r="G33" s="6" t="s">
        <v>46</v>
      </c>
      <c r="H33" s="6">
        <v>35</v>
      </c>
    </row>
    <row r="34" spans="7:8" x14ac:dyDescent="0.15">
      <c r="G34" s="6" t="s">
        <v>47</v>
      </c>
      <c r="H34" s="6">
        <v>36</v>
      </c>
    </row>
    <row r="35" spans="7:8" x14ac:dyDescent="0.15">
      <c r="G35" s="6" t="s">
        <v>48</v>
      </c>
      <c r="H35" s="6">
        <v>37</v>
      </c>
    </row>
    <row r="36" spans="7:8" x14ac:dyDescent="0.15">
      <c r="G36" s="6" t="s">
        <v>53</v>
      </c>
      <c r="H36" s="6">
        <v>22</v>
      </c>
    </row>
    <row r="37" spans="7:8" x14ac:dyDescent="0.15">
      <c r="G37" s="6" t="s">
        <v>54</v>
      </c>
      <c r="H37" s="6">
        <v>23</v>
      </c>
    </row>
    <row r="38" spans="7:8" x14ac:dyDescent="0.15">
      <c r="G38" s="6" t="s">
        <v>55</v>
      </c>
      <c r="H38" s="6">
        <v>24</v>
      </c>
    </row>
    <row r="39" spans="7:8" x14ac:dyDescent="0.15">
      <c r="G39" s="6" t="s">
        <v>56</v>
      </c>
      <c r="H39" s="6">
        <v>25</v>
      </c>
    </row>
    <row r="40" spans="7:8" x14ac:dyDescent="0.15">
      <c r="G40" s="6" t="s">
        <v>57</v>
      </c>
      <c r="H40" s="6">
        <v>26</v>
      </c>
    </row>
    <row r="41" spans="7:8" x14ac:dyDescent="0.15">
      <c r="G41" s="6" t="s">
        <v>58</v>
      </c>
      <c r="H41" s="6">
        <v>27</v>
      </c>
    </row>
    <row r="42" spans="7:8" x14ac:dyDescent="0.15">
      <c r="G42" s="6" t="s">
        <v>59</v>
      </c>
      <c r="H42" s="6">
        <v>38</v>
      </c>
    </row>
    <row r="43" spans="7:8" x14ac:dyDescent="0.15">
      <c r="G43" s="15" t="s">
        <v>129</v>
      </c>
      <c r="H43" s="15">
        <v>41</v>
      </c>
    </row>
    <row r="44" spans="7:8" x14ac:dyDescent="0.15">
      <c r="G44" s="6" t="s">
        <v>130</v>
      </c>
      <c r="H44" s="6">
        <v>42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9C4B-DE89-45EC-BD64-B70BD29F9A6E}">
  <dimension ref="A1:D17"/>
  <sheetViews>
    <sheetView tabSelected="1" workbookViewId="0">
      <selection activeCell="B18" sqref="B18"/>
    </sheetView>
  </sheetViews>
  <sheetFormatPr defaultRowHeight="13.5" x14ac:dyDescent="0.15"/>
  <cols>
    <col min="2" max="2" width="21.875" customWidth="1"/>
    <col min="3" max="3" width="13.5" customWidth="1"/>
    <col min="4" max="4" width="18.25" customWidth="1"/>
  </cols>
  <sheetData>
    <row r="1" spans="1:4" x14ac:dyDescent="0.15">
      <c r="A1" t="s">
        <v>148</v>
      </c>
      <c r="B1" t="s">
        <v>18</v>
      </c>
      <c r="C1" t="s">
        <v>19</v>
      </c>
    </row>
    <row r="2" spans="1:4" x14ac:dyDescent="0.15">
      <c r="B2" t="s">
        <v>145</v>
      </c>
      <c r="C2">
        <v>1</v>
      </c>
      <c r="D2" t="s">
        <v>149</v>
      </c>
    </row>
    <row r="3" spans="1:4" x14ac:dyDescent="0.15">
      <c r="C3">
        <v>2</v>
      </c>
      <c r="D3" t="s">
        <v>150</v>
      </c>
    </row>
    <row r="4" spans="1:4" x14ac:dyDescent="0.15">
      <c r="C4">
        <v>-1</v>
      </c>
      <c r="D4" t="s">
        <v>151</v>
      </c>
    </row>
    <row r="5" spans="1:4" x14ac:dyDescent="0.15">
      <c r="C5">
        <v>-2</v>
      </c>
      <c r="D5" t="s">
        <v>152</v>
      </c>
    </row>
    <row r="6" spans="1:4" x14ac:dyDescent="0.15">
      <c r="B6" t="s">
        <v>146</v>
      </c>
      <c r="C6">
        <v>1</v>
      </c>
      <c r="D6" t="s">
        <v>153</v>
      </c>
    </row>
    <row r="7" spans="1:4" x14ac:dyDescent="0.15">
      <c r="C7">
        <v>-1</v>
      </c>
      <c r="D7" t="s">
        <v>154</v>
      </c>
    </row>
    <row r="8" spans="1:4" x14ac:dyDescent="0.15">
      <c r="B8" t="s">
        <v>147</v>
      </c>
      <c r="C8">
        <v>1</v>
      </c>
      <c r="D8" t="s">
        <v>155</v>
      </c>
    </row>
    <row r="9" spans="1:4" x14ac:dyDescent="0.15">
      <c r="C9">
        <v>2</v>
      </c>
      <c r="D9" t="s">
        <v>156</v>
      </c>
    </row>
    <row r="10" spans="1:4" x14ac:dyDescent="0.15">
      <c r="C10">
        <v>3</v>
      </c>
      <c r="D10" t="s">
        <v>157</v>
      </c>
    </row>
    <row r="11" spans="1:4" x14ac:dyDescent="0.15">
      <c r="C11">
        <v>4</v>
      </c>
      <c r="D11" t="s">
        <v>158</v>
      </c>
    </row>
    <row r="12" spans="1:4" x14ac:dyDescent="0.15">
      <c r="C12">
        <v>-1</v>
      </c>
      <c r="D12" t="s">
        <v>159</v>
      </c>
    </row>
    <row r="13" spans="1:4" x14ac:dyDescent="0.15">
      <c r="C13">
        <v>-2</v>
      </c>
      <c r="D13" t="s">
        <v>160</v>
      </c>
    </row>
    <row r="14" spans="1:4" x14ac:dyDescent="0.15">
      <c r="C14">
        <v>-3</v>
      </c>
      <c r="D14" t="s">
        <v>161</v>
      </c>
    </row>
    <row r="15" spans="1:4" x14ac:dyDescent="0.15">
      <c r="C15">
        <v>-4</v>
      </c>
      <c r="D15" t="s">
        <v>162</v>
      </c>
    </row>
    <row r="16" spans="1:4" x14ac:dyDescent="0.15">
      <c r="B16" t="s">
        <v>163</v>
      </c>
    </row>
    <row r="17" spans="2:2" x14ac:dyDescent="0.15">
      <c r="B1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PathPoints6</vt:lpstr>
      <vt:lpstr>Sheet1</vt:lpstr>
      <vt:lpstr>仿真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 W</dc:creator>
  <cp:lastModifiedBy>Jie Huang</cp:lastModifiedBy>
  <dcterms:created xsi:type="dcterms:W3CDTF">2024-06-20T06:47:46Z</dcterms:created>
  <dcterms:modified xsi:type="dcterms:W3CDTF">2026-09-22T08:05:18Z</dcterms:modified>
</cp:coreProperties>
</file>